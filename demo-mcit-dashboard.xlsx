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Dashboard" sheetId="1" r:id="rId1"/>
  </sheets>
  <calcPr calcId="191029"/>
</workbook>
</file>

<file path=xl/sharedStrings.xml><?xml version="1.0" encoding="utf-8"?>
<sst xmlns="http://schemas.openxmlformats.org/spreadsheetml/2006/main" count="28" uniqueCount="28">
  <si>
    <t>MCIT Digital Government Services 2026</t>
  </si>
  <si>
    <t>Executive Dashboard — October 2026</t>
  </si>
  <si>
    <t>Citizens Onboarded</t>
  </si>
  <si>
    <t>Services Digitized</t>
  </si>
  <si>
    <t>Avg Service Time</t>
  </si>
  <si>
    <t>4.2s</t>
  </si>
  <si>
    <t>+60% vs 2025</t>
  </si>
  <si>
    <t>+14 pts</t>
  </si>
  <si>
    <t>Satisfaction</t>
  </si>
  <si>
    <t>Ministries Connected</t>
  </si>
  <si>
    <t>Threats Blocked</t>
  </si>
  <si>
    <t>+13 pts</t>
  </si>
  <si>
    <t>0 breaches</t>
  </si>
  <si>
    <t>Quarterly Onboarding Trend</t>
  </si>
  <si>
    <t>Quarter</t>
  </si>
  <si>
    <t>Citizens (K)</t>
  </si>
  <si>
    <t>Services Live</t>
  </si>
  <si>
    <t>Regional Adoption (K)</t>
  </si>
  <si>
    <t>Q1 2026</t>
  </si>
  <si>
    <t>Cairo</t>
  </si>
  <si>
    <t>Q2 2026</t>
  </si>
  <si>
    <t>Delta</t>
  </si>
  <si>
    <t>Q3 2026</t>
  </si>
  <si>
    <t>Alexandria</t>
  </si>
  <si>
    <t>Q4 2026</t>
  </si>
  <si>
    <t>Giza</t>
  </si>
  <si>
    <t>Total Growth</t>
  </si>
  <si>
    <t>Upper Egypt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</si>
</sst>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</font>
    <font>
      <b/>
      <sz val="22"/>
      <color rgb="FFFFFFFF"/>
      <name val="Nohemi"/>
      <family val="2"/>
    </font>
    <font>
      <sz val="12"/>
      <color rgb="FFB9C2CE"/>
      <name val="Public Sans"/>
      <family val="2"/>
    </font>
    <font>
      <b/>
      <sz val="11"/>
      <color rgb="FF5E6B7A"/>
      <name val="Public Sans"/>
      <family val="2"/>
    </font>
    <font>
      <b/>
      <sz val="28"/>
      <color rgb="FF0A1A2F"/>
      <name val="Nohemi"/>
      <family val="2"/>
    </font>
    <font>
      <b/>
      <sz val="11"/>
      <color rgb="FF0A1A2F"/>
      <name val="Public Sans"/>
      <family val="2"/>
    </font>
    <font>
      <b/>
      <sz val="16"/>
      <color rgb="FF0A1A2F"/>
      <name val="Nohemi"/>
      <family val="2"/>
    </font>
    <font>
      <b/>
      <sz val="12"/>
      <color rgb="FFFFFFFF"/>
      <name val="Public Sans"/>
      <family val="2"/>
    </font>
    <font>
      <sz val="12"/>
      <color rgb="FF0A1A2F"/>
      <name val="Public Sans"/>
      <family val="2"/>
    </font>
    <font>
      <b/>
      <sz val="12"/>
      <color rgb="FF0A1A2F"/>
      <name val="Public Sans"/>
      <family val="2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4" fillId="0" borderId="0" xfId="0" applyNumberFormat="1" applyFont="1"/>
    <xf numFmtId="0" fontId="4" fillId="0" borderId="0" xfId="0" applyFont="1"/>
    <xf numFmtId="0" fontId="5" fillId="0" borderId="0" xfId="0" applyFont="1"/>
    <xf numFmtId="9" fontId="0" fillId="0" borderId="0" xfId="0" applyNumberFormat="1"/>
    <xf numFmtId="9" fontId="4" fillId="0" borderId="0" xfId="0" applyNumberFormat="1" applyFont="1"/>
    <xf numFmtId="9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style val="1"/>
  <c:chart>
    <c:title>
      <c:tx>
        <c:rich>
          <a:bodyPr/>
          <a:lstStyle/>
          <a:p>
            <a:pPr>
              <a:defRPr/>
            </a:pPr>
            <a:r>
              <a:t>Quarterly Onboarding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Dashboard!$B$12</c:f>
              <c:strCache>
                <c:ptCount val="1"/>
                <c:pt idx="0">
                  <c:v>Citizens (K)</c:v>
                </c:pt>
              </c:strCache>
            </c:strRef>
          </c:tx>
          <c:invertIfNegative val="0"/>
          <c:cat>
            <c:strRef>
              <c:f>Dashboard!$A$13:$A$16</c:f>
              <c:strCache>
                <c:ptCount val="4"/>
                <c:pt idx="0">
                  <c:v>Q1 2026</c:v>
                </c:pt>
                <c:pt idx="1">
                  <c:v>Q2 2026</c:v>
                </c:pt>
                <c:pt idx="2">
                  <c:v>Q3 2026</c:v>
                </c:pt>
                <c:pt idx="3">
                  <c:v>Q4 2026</c:v>
                </c:pt>
              </c:strCache>
            </c:strRef>
          </c:cat>
          <c:val>
            <c:numRef>
              <c:f>Dashboard!$B$13:$B$16</c:f>
              <c:numCache>
                <c:formatCode>General</c:formatCode>
                <c:ptCount val="4"/>
                <c:pt idx="0">
                  <c:v>800</c:v>
                </c:pt>
                <c:pt idx="1">
                  <c:v>1400</c:v>
                </c:pt>
                <c:pt idx="2">
                  <c:v>1900</c:v>
                </c:pt>
                <c:pt idx="3">
                  <c:v>2400</c:v>
                </c:pt>
              </c:numCache>
            </c:numRef>
          </c:val>
        </c:ser>
        <c:ser>
          <c:idx val="1"/>
          <c:order val="1"/>
          <c:tx>
            <c:strRef>
              <c:f>Dashboard!$C$12</c:f>
              <c:strCache>
                <c:ptCount val="1"/>
                <c:pt idx="0">
                  <c:v>Services Live</c:v>
                </c:pt>
              </c:strCache>
            </c:strRef>
          </c:tx>
          <c:invertIfNegative val="0"/>
          <c:cat>
            <c:strRef>
              <c:f>Dashboard!$A$13:$A$16</c:f>
              <c:strCache>
                <c:ptCount val="4"/>
                <c:pt idx="0">
                  <c:v>Q1 2026</c:v>
                </c:pt>
                <c:pt idx="1">
                  <c:v>Q2 2026</c:v>
                </c:pt>
                <c:pt idx="2">
                  <c:v>Q3 2026</c:v>
                </c:pt>
                <c:pt idx="3">
                  <c:v>Q4 2026</c:v>
                </c:pt>
              </c:strCache>
            </c:strRef>
          </c:cat>
          <c:val>
            <c:numRef>
              <c:f>Dashboard!$C$13:$C$16</c:f>
              <c:numCache>
                <c:formatCode>General</c:formatCode>
                <c:ptCount val="4"/>
                <c:pt idx="0">
                  <c:v>85</c:v>
                </c:pt>
                <c:pt idx="1">
                  <c:v>120</c:v>
                </c:pt>
                <c:pt idx="2">
                  <c:v>145</c:v>
                </c:pt>
                <c:pt idx="3">
                  <c:v>168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0</xdr:col>
      <xdr:colOff>0</xdr:colOff>
      <xdr:row>18</xdr:row>
      <xdr:rowOff>0</xdr:rowOff>
    </xdr:from>
    <xdr:to>
      <xdr:col>10</xdr:col>
      <xdr:colOff>76200</xdr:colOff>
      <xdr:row>35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5715000" cy="333375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>
      <selection activeCell="A1" sqref="A1"/>
    </sheetView>
  </sheetViews>
  <sheetFormatPr defaultRowHeight="15"/>
  <cols>
    <col min="1" max="1" width="2.28125" customWidth="1"/>
  </cols>
  <sheetData>
    <row r="1" ht="30">
      <c r="A1" s="1" t="s">
        <v>0</v>
      </c>
      <c r="B1" s="1"/>
      <c r="C1" s="1"/>
      <c r="D1" s="1"/>
      <c r="E1" s="1"/>
      <c r="F1" s="1"/>
    </row>
    <row r="2" ht="16.5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/>
      <c r="C4" s="3" t="s">
        <v>3</v>
      </c>
      <c r="D4" s="3"/>
      <c r="E4" s="3" t="s">
        <v>4</v>
      </c>
      <c r="F4" s="3"/>
    </row>
    <row r="5" ht="38.18">
      <c r="A5" s="5">
        <v>2400000</v>
      </c>
      <c r="B5" s="6"/>
      <c r="C5" s="9">
        <v>0.68</v>
      </c>
      <c r="D5" s="6"/>
      <c r="E5" s="6" t="s">
        <v>5</v>
      </c>
      <c r="F5" s="6"/>
    </row>
    <row r="6">
      <c r="A6" s="7" t="s">
        <v>6</v>
      </c>
      <c r="B6" s="7"/>
      <c r="C6" s="7" t="s">
        <v>7</v>
      </c>
      <c r="D6" s="7"/>
      <c r="E6" s="10">
        <v>-0.78</v>
      </c>
      <c r="F6" s="7"/>
    </row>
    <row r="7">
      <c r="A7" s="3" t="s">
        <v>8</v>
      </c>
      <c r="B7" s="3"/>
      <c r="C7" s="3" t="s">
        <v>9</v>
      </c>
      <c r="D7" s="3"/>
      <c r="E7" s="3" t="s">
        <v>10</v>
      </c>
      <c r="F7" s="3"/>
    </row>
    <row r="8" ht="38.18">
      <c r="A8" s="9">
        <v>0.91</v>
      </c>
      <c r="B8" s="6"/>
      <c r="C8" s="6">
        <v>12</v>
      </c>
      <c r="D8" s="6"/>
      <c r="E8" s="5">
        <v>14000</v>
      </c>
      <c r="F8" s="6"/>
    </row>
    <row r="9">
      <c r="A9" s="7" t="s">
        <v>11</v>
      </c>
      <c r="B9" s="7"/>
      <c r="C9" s="7">
        <v>5</v>
      </c>
      <c r="D9" s="7"/>
      <c r="E9" s="7" t="s">
        <v>12</v>
      </c>
      <c r="F9" s="7"/>
    </row>
    <row r="11" ht="21.82">
      <c r="A11" s="11" t="s">
        <v>13</v>
      </c>
      <c r="B11" s="11"/>
      <c r="C11" s="11"/>
      <c r="D11" s="11"/>
      <c r="E11" s="11"/>
      <c r="F11" s="11"/>
    </row>
    <row r="12" ht="16.5">
      <c r="A12" s="12" t="s">
        <v>14</v>
      </c>
      <c r="B12" s="12" t="s">
        <v>15</v>
      </c>
      <c r="C12" s="12" t="s">
        <v>16</v>
      </c>
      <c r="E12" s="12" t="s">
        <v>17</v>
      </c>
      <c r="F12" s="12"/>
    </row>
    <row r="13" ht="16.5">
      <c r="A13" s="13" t="s">
        <v>18</v>
      </c>
      <c r="B13" s="13">
        <v>800</v>
      </c>
      <c r="C13" s="13">
        <v>85</v>
      </c>
      <c r="E13" s="13" t="s">
        <v>19</v>
      </c>
      <c r="F13" s="13">
        <v>890</v>
      </c>
    </row>
    <row r="14" ht="16.5">
      <c r="A14" s="13" t="s">
        <v>20</v>
      </c>
      <c r="B14" s="13">
        <v>1400</v>
      </c>
      <c r="C14" s="13">
        <v>120</v>
      </c>
      <c r="E14" s="13" t="s">
        <v>21</v>
      </c>
      <c r="F14" s="13">
        <v>510</v>
      </c>
    </row>
    <row r="15" ht="16.5">
      <c r="A15" s="13" t="s">
        <v>22</v>
      </c>
      <c r="B15" s="13">
        <v>1900</v>
      </c>
      <c r="C15" s="13">
        <v>145</v>
      </c>
      <c r="E15" s="13" t="s">
        <v>23</v>
      </c>
      <c r="F15" s="13">
        <v>420</v>
      </c>
    </row>
    <row r="16" ht="16.5">
      <c r="A16" s="13" t="s">
        <v>24</v>
      </c>
      <c r="B16" s="13">
        <v>2400</v>
      </c>
      <c r="C16" s="13">
        <v>168</v>
      </c>
      <c r="E16" s="13" t="s">
        <v>25</v>
      </c>
      <c r="F16" s="13">
        <v>380</v>
      </c>
    </row>
    <row r="17" ht="16.5">
      <c r="A17" s="14" t="s">
        <v>26</v>
      </c>
      <c r="B17" s="14">
        <f>SUM(B13:B16)</f>
        <v>6500</v>
      </c>
      <c r="C17" s="14">
        <f>SUM(C13:C16)</f>
        <v>518</v>
      </c>
      <c r="E17" s="13" t="s">
        <v>27</v>
      </c>
      <c r="F17" s="13">
        <v>290</v>
      </c>
    </row>
  </sheetData>
  <pageMargins left="0.699999988079071" right="0.699999988079071" top="0.75" bottom="0.75" header="0.30000001192092896" footer="0.30000001192092896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