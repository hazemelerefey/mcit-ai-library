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ICT_2025_Monthly" sheetId="1" r:id="rId1"/>
  </sheets>
  <calcPr calcId="191029"/>
</workbook>
</file>

<file path=xl/sharedStrings.xml><?xml version="1.0" encoding="utf-8"?>
<sst xmlns="http://schemas.openxmlformats.org/spreadsheetml/2006/main" count="39" uniqueCount="34">
  <si>
    <t>ICT Indicators — Full Year 2025 (Sample Data)</t>
  </si>
  <si>
    <t>SYNTHETIC sample in MCIT bulletin format — for template demo only, not official figures. Replace with real monthly data.</t>
  </si>
  <si>
    <t>Indicator</t>
  </si>
  <si>
    <t>Unit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</si>
  <si>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</si>
  <si>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</si>
  <si>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</si>
  <si>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</si>
  <si>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</si>
  <si>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</si>
  <si>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</si>
  <si>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</si>
  <si>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</si>
  <si>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</si>
  <si>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</si>
  <si>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</si>
  <si>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</si>
  <si>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</si>
  <si>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MoM %</t>
  </si>
  <si>
    <t>YoY %</t>
  </si>
  <si>
    <t>Mobile subscriptions</t>
  </si>
  <si>
    <t>Million</t>
  </si>
  <si>
    <t>Mobile penetration</t>
  </si>
  <si>
    <t>%</t>
  </si>
  <si>
    <t>Data and voice mobile broadband</t>
  </si>
  <si>
    <t>Data-only mobile broadband</t>
  </si>
  <si>
    <t>Active fixed broadband</t>
  </si>
  <si>
    <t>Fixed lines</t>
  </si>
  <si>
    <t>Fixed lines penetration</t>
  </si>
  <si>
    <t>Post offices</t>
  </si>
  <si>
    <t>Offices</t>
  </si>
  <si>
    <t>EGX Telecom Index</t>
  </si>
  <si>
    <t>Points</t>
  </si>
  <si>
    <t>How to use: paste each new month as a column before the MoM column; copy the growth formulas across. Mark negatives red.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</si>
</sst>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rgb="FFFFFFFF"/>
      <name val="Calibri"/>
      <family val="2"/>
    </font>
    <font>
      <sz val="10"/>
      <color theme="1"/>
      <name val="Calibri"/>
      <family val="2"/>
    </font>
    <font>
      <sz val="10"/>
      <color rgb="FFB9C2CE"/>
      <name val="Calibri"/>
      <family val="2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rgb="FF16A6E9"/>
      <name val="Calibri"/>
      <family val="2"/>
    </font>
    <font>
      <sz val="9"/>
      <color theme="1"/>
      <name val="Calibri"/>
      <family val="2"/>
    </font>
    <font>
      <sz val="9"/>
      <color rgb="FFB9C2CE"/>
      <name val="Calibri"/>
      <family val="2"/>
    </font>
  </fonts>
  <fills count="5">
    <fill>
      <patternFill patternType="none"/>
    </fill>
    <fill>
      <patternFill patternType="gray125">
        <bgColor indexed="64"/>
      </patternFill>
    </fill>
    <fill>
      <patternFill patternType="solid">
        <fgColor rgb="FF010612"/>
        <bgColor indexed="64"/>
      </patternFill>
    </fill>
    <fill>
      <patternFill patternType="solid">
        <fgColor rgb="FF1E507A"/>
        <bgColor indexed="64"/>
      </patternFill>
    </fill>
    <fill>
      <patternFill patternType="solid">
        <fgColor rgb="FF030F1F"/>
        <bgColor indexed="64"/>
      </patternFill>
    </fill>
  </fills>
  <borders count="2">
    <border>
      <left/>
      <right/>
      <top/>
      <bottom/>
      <diagonal/>
    </border>
    <border>
      <left style="thin">
        <color rgb="FF1E507A"/>
      </left>
      <right style="thin">
        <color rgb="FF1E507A"/>
      </right>
      <top style="thin">
        <color rgb="FF1E507A"/>
      </top>
      <bottom style="thin">
        <color rgb="FF1E507A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0" fillId="3" borderId="0" xfId="0" applyFill="1"/>
    <xf numFmtId="0" fontId="6" fillId="3" borderId="0" xfId="0" applyFont="1" applyFill="1"/>
    <xf numFmtId="0" fontId="7" fillId="3" borderId="0" xfId="0" applyFont="1" applyFill="1"/>
    <xf numFmtId="0" fontId="6" fillId="2" borderId="0" xfId="0" applyFont="1" applyFill="1"/>
    <xf numFmtId="0" fontId="8" fillId="2" borderId="0" xfId="0" applyFont="1" applyFill="1"/>
    <xf numFmtId="0" fontId="0" fillId="4" borderId="0" xfId="0" applyFill="1"/>
    <xf numFmtId="0" fontId="6" fillId="4" borderId="0" xfId="0" applyFont="1" applyFill="1"/>
    <xf numFmtId="0" fontId="8" fillId="4" borderId="0" xfId="0" applyFont="1" applyFill="1"/>
    <xf numFmtId="0" fontId="7" fillId="3" borderId="1" xfId="0" applyFont="1" applyFill="1" applyBorder="1"/>
    <xf numFmtId="0" fontId="6" fillId="2" borderId="1" xfId="0" applyFont="1" applyFill="1" applyBorder="1"/>
    <xf numFmtId="0" fontId="8" fillId="2" borderId="1" xfId="0" applyFont="1" applyFill="1" applyBorder="1"/>
    <xf numFmtId="0" fontId="6" fillId="4" borderId="1" xfId="0" applyFont="1" applyFill="1" applyBorder="1"/>
    <xf numFmtId="0" fontId="8" fillId="4" borderId="1" xfId="0" applyFont="1" applyFill="1" applyBorder="1"/>
    <xf numFmtId="2" fontId="6" fillId="2" borderId="1" xfId="0" applyNumberFormat="1" applyFont="1" applyFill="1" applyBorder="1"/>
    <xf numFmtId="2" fontId="6" fillId="4" borderId="1" xfId="0" applyNumberFormat="1" applyFont="1" applyFill="1" applyBorder="1"/>
    <xf numFmtId="10" fontId="8" fillId="2" borderId="1" xfId="0" applyNumberFormat="1" applyFont="1" applyFill="1" applyBorder="1"/>
    <xf numFmtId="10" fontId="8" fillId="4" borderId="1" xfId="0" applyNumberFormat="1" applyFont="1" applyFill="1" applyBorder="1"/>
    <xf numFmtId="0" fontId="9" fillId="2" borderId="0" xfId="0" applyFont="1" applyFill="1"/>
    <xf numFmtId="0" fontId="1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CT_2025" displayName="ICT_2025" ref="A4:R13" totalsRowShown="0">
  <autoFilter ref="A4:R13"/>
  <tableColumns count="18">
    <tableColumn id="1" name="Indicator"/>
    <tableColumn id="2" name="Unit"/>
    <tableColumn id="3" name="Nov 2024"/>
    <tableColumn id="4" name="Dec 2024"/>
    <tableColumn id="5" name="Jan 2025"/>
    <tableColumn id="6" name="Feb 2025"/>
    <tableColumn id="7" name="Mar 2025"/>
    <tableColumn id="8" name="Apr 2025"/>
    <tableColumn id="9" name="May 2025"/>
    <tableColumn id="10" name="Jun 2025"/>
    <tableColumn id="11" name="Jul 2025"/>
    <tableColumn id="12" name="Aug 2025"/>
    <tableColumn id="13" name="Sep 2025"/>
    <tableColumn id="14" name="Oct 2025"/>
    <tableColumn id="15" name="Nov 2025"/>
    <tableColumn id="16" name="Dec 2025"/>
    <tableColumn id="17" name="MoM %"/>
    <tableColumn id="18" name="YoY 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E507A"/>
  </sheetPr>
  <dimension ref="A1:R16"/>
  <sheetViews>
    <sheetView tabSelected="1" workbookViewId="0">
      <pane xSplit="2" ySplit="4" topLeftCell="C5" activePane="bottomRight" state="frozen"/>
      <selection pane="bottomRight" activeCell="A1" sqref="A1"/>
    </sheetView>
  </sheetViews>
  <sheetFormatPr defaultRowHeight="15"/>
  <cols>
    <col min="1" max="1" width="30.7109375" customWidth="1"/>
    <col min="2" max="18" width="10.7109375" customWidth="1"/>
  </cols>
  <sheetData>
    <row r="1" ht="21.82">
      <c r="A1" s="4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6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5" t="s">
        <v>2</v>
      </c>
      <c r="B4" s="15" t="s">
        <v>3</v>
      </c>
      <c r="C4" s="15" t="s">
        <v>4</v>
      </c>
      <c r="D4" s="15" t="s">
        <v>5</v>
      </c>
      <c r="E4" s="15" t="s">
        <v>6</v>
      </c>
      <c r="F4" s="15" t="s">
        <v>7</v>
      </c>
      <c r="G4" s="15" t="s">
        <v>8</v>
      </c>
      <c r="H4" s="15" t="s">
        <v>9</v>
      </c>
      <c r="I4" s="15" t="s">
        <v>10</v>
      </c>
      <c r="J4" s="15" t="s">
        <v>11</v>
      </c>
      <c r="K4" s="15" t="s">
        <v>12</v>
      </c>
      <c r="L4" s="15" t="s">
        <v>13</v>
      </c>
      <c r="M4" s="15" t="s">
        <v>14</v>
      </c>
      <c r="N4" s="15" t="s">
        <v>15</v>
      </c>
      <c r="O4" s="15" t="s">
        <v>16</v>
      </c>
      <c r="P4" s="15" t="s">
        <v>17</v>
      </c>
      <c r="Q4" s="15" t="s">
        <v>18</v>
      </c>
      <c r="R4" s="15" t="s">
        <v>19</v>
      </c>
    </row>
    <row r="5">
      <c r="A5" s="16" t="s">
        <v>20</v>
      </c>
      <c r="B5" s="16" t="s">
        <v>21</v>
      </c>
      <c r="C5" s="20">
        <v>113.87</v>
      </c>
      <c r="D5" s="20">
        <v>114.52</v>
      </c>
      <c r="E5" s="20">
        <v>115.31</v>
      </c>
      <c r="F5" s="20">
        <v>116.08</v>
      </c>
      <c r="G5" s="20">
        <v>117.14</v>
      </c>
      <c r="H5" s="20">
        <v>118.18</v>
      </c>
      <c r="I5" s="20">
        <v>119.35</v>
      </c>
      <c r="J5" s="20">
        <v>120.06</v>
      </c>
      <c r="K5" s="20">
        <v>120.98</v>
      </c>
      <c r="L5" s="20">
        <v>121.68</v>
      </c>
      <c r="M5" s="20">
        <v>122.48</v>
      </c>
      <c r="N5" s="20">
        <v>123.47</v>
      </c>
      <c r="O5" s="20">
        <v>124.17</v>
      </c>
      <c r="P5" s="20">
        <v>124.99</v>
      </c>
      <c r="Q5" s="22">
        <f>IF(O5="","",(P5-O5)/O5)</f>
        <v>0.006603849561085553</v>
      </c>
      <c r="R5" s="22">
        <f>IF(D5="","",(P5-D5)/D5)</f>
        <v>0.09142507858889276</v>
      </c>
    </row>
    <row r="6">
      <c r="A6" s="18" t="s">
        <v>22</v>
      </c>
      <c r="B6" s="18" t="s">
        <v>23</v>
      </c>
      <c r="C6" s="21">
        <v>103.96</v>
      </c>
      <c r="D6" s="21">
        <v>104.28</v>
      </c>
      <c r="E6" s="21">
        <v>104.54</v>
      </c>
      <c r="F6" s="21">
        <v>104.87</v>
      </c>
      <c r="G6" s="21">
        <v>105.24</v>
      </c>
      <c r="H6" s="21">
        <v>105.47</v>
      </c>
      <c r="I6" s="21">
        <v>105.84</v>
      </c>
      <c r="J6" s="21">
        <v>106.19</v>
      </c>
      <c r="K6" s="21">
        <v>106.48</v>
      </c>
      <c r="L6" s="21">
        <v>106.74</v>
      </c>
      <c r="M6" s="21">
        <v>107.14</v>
      </c>
      <c r="N6" s="21">
        <v>107.43</v>
      </c>
      <c r="O6" s="21">
        <v>107.68</v>
      </c>
      <c r="P6" s="21">
        <v>107.92</v>
      </c>
      <c r="Q6" s="23">
        <f>IF(O6="","",(P6-O6)/O6)</f>
        <v>0.0022288261515601305</v>
      </c>
      <c r="R6" s="23">
        <f>IF(D6="","",(P6-D6)/D6)</f>
        <v>0.034906022247794405</v>
      </c>
    </row>
    <row r="7">
      <c r="A7" s="16" t="s">
        <v>24</v>
      </c>
      <c r="B7" s="16" t="s">
        <v>21</v>
      </c>
      <c r="C7" s="20">
        <v>84.69</v>
      </c>
      <c r="D7" s="20">
        <v>85.59</v>
      </c>
      <c r="E7" s="20">
        <v>86.6</v>
      </c>
      <c r="F7" s="20">
        <v>87.59</v>
      </c>
      <c r="G7" s="20">
        <v>88.48</v>
      </c>
      <c r="H7" s="20">
        <v>89.62</v>
      </c>
      <c r="I7" s="20">
        <v>90.45</v>
      </c>
      <c r="J7" s="20">
        <v>91.38</v>
      </c>
      <c r="K7" s="20">
        <v>92.48</v>
      </c>
      <c r="L7" s="20">
        <v>93.47</v>
      </c>
      <c r="M7" s="20">
        <v>94.61</v>
      </c>
      <c r="N7" s="20">
        <v>95.6</v>
      </c>
      <c r="O7" s="20">
        <v>96.67</v>
      </c>
      <c r="P7" s="20">
        <v>97.37</v>
      </c>
      <c r="Q7" s="22">
        <f>IF(O7="","",(P7-O7)/O7)</f>
        <v>0.00724112961622016</v>
      </c>
      <c r="R7" s="22">
        <f>IF(D7="","",(P7-D7)/D7)</f>
        <v>0.1376329010398411</v>
      </c>
    </row>
    <row r="8">
      <c r="A8" s="18" t="s">
        <v>25</v>
      </c>
      <c r="B8" s="18" t="s">
        <v>21</v>
      </c>
      <c r="C8" s="21">
        <v>3.2</v>
      </c>
      <c r="D8" s="21">
        <v>3.28</v>
      </c>
      <c r="E8" s="21">
        <v>3.36</v>
      </c>
      <c r="F8" s="21">
        <v>3.44</v>
      </c>
      <c r="G8" s="21">
        <v>3.52</v>
      </c>
      <c r="H8" s="21">
        <v>3.61</v>
      </c>
      <c r="I8" s="21">
        <v>3.73</v>
      </c>
      <c r="J8" s="21">
        <v>3.83</v>
      </c>
      <c r="K8" s="21">
        <v>3.94</v>
      </c>
      <c r="L8" s="21">
        <v>4.03</v>
      </c>
      <c r="M8" s="21">
        <v>4.14</v>
      </c>
      <c r="N8" s="21">
        <v>4.29</v>
      </c>
      <c r="O8" s="21">
        <v>4.43</v>
      </c>
      <c r="P8" s="21">
        <v>4.58</v>
      </c>
      <c r="Q8" s="23">
        <f>IF(O8="","",(P8-O8)/O8)</f>
        <v>0.03386004514672694</v>
      </c>
      <c r="R8" s="23">
        <f>IF(D8="","",(P8-D8)/D8)</f>
        <v>0.3963414634146343</v>
      </c>
    </row>
    <row r="9">
      <c r="A9" s="16" t="s">
        <v>26</v>
      </c>
      <c r="B9" s="16" t="s">
        <v>21</v>
      </c>
      <c r="C9" s="20">
        <v>11.53</v>
      </c>
      <c r="D9" s="20">
        <v>11.64</v>
      </c>
      <c r="E9" s="20">
        <v>11.71</v>
      </c>
      <c r="F9" s="20">
        <v>11.8</v>
      </c>
      <c r="G9" s="20">
        <v>11.92</v>
      </c>
      <c r="H9" s="20">
        <v>12.03</v>
      </c>
      <c r="I9" s="20">
        <v>12.12</v>
      </c>
      <c r="J9" s="20">
        <v>12.23</v>
      </c>
      <c r="K9" s="20">
        <v>12.35</v>
      </c>
      <c r="L9" s="20">
        <v>12.47</v>
      </c>
      <c r="M9" s="20">
        <v>12.55</v>
      </c>
      <c r="N9" s="20">
        <v>12.62</v>
      </c>
      <c r="O9" s="20">
        <v>12.71</v>
      </c>
      <c r="P9" s="20">
        <v>12.8</v>
      </c>
      <c r="Q9" s="22">
        <f>IF(O9="","",(P9-O9)/O9)</f>
        <v>0.007081038552320996</v>
      </c>
      <c r="R9" s="22">
        <f>IF(D9="","",(P9-D9)/D9)</f>
        <v>0.09965635738831616</v>
      </c>
    </row>
    <row r="10">
      <c r="A10" s="18" t="s">
        <v>27</v>
      </c>
      <c r="B10" s="18" t="s">
        <v>21</v>
      </c>
      <c r="C10" s="21">
        <v>13.09</v>
      </c>
      <c r="D10" s="21">
        <v>13.14</v>
      </c>
      <c r="E10" s="21">
        <v>13.19</v>
      </c>
      <c r="F10" s="21">
        <v>13.23</v>
      </c>
      <c r="G10" s="21">
        <v>13.27</v>
      </c>
      <c r="H10" s="21">
        <v>13.31</v>
      </c>
      <c r="I10" s="21">
        <v>13.36</v>
      </c>
      <c r="J10" s="21">
        <v>13.4</v>
      </c>
      <c r="K10" s="21">
        <v>13.43</v>
      </c>
      <c r="L10" s="21">
        <v>13.46</v>
      </c>
      <c r="M10" s="21">
        <v>13.51</v>
      </c>
      <c r="N10" s="21">
        <v>13.54</v>
      </c>
      <c r="O10" s="21">
        <v>13.58</v>
      </c>
      <c r="P10" s="21">
        <v>13.63</v>
      </c>
      <c r="Q10" s="23">
        <f>IF(O10="","",(P10-O10)/O10)</f>
        <v>0.0036818851251841467</v>
      </c>
      <c r="R10" s="23">
        <f>IF(D10="","",(P10-D10)/D10)</f>
        <v>0.037290715372907166</v>
      </c>
    </row>
    <row r="11">
      <c r="A11" s="16" t="s">
        <v>28</v>
      </c>
      <c r="B11" s="16" t="s">
        <v>23</v>
      </c>
      <c r="C11" s="20">
        <v>12.01</v>
      </c>
      <c r="D11" s="20">
        <v>12.03</v>
      </c>
      <c r="E11" s="20">
        <v>12.06</v>
      </c>
      <c r="F11" s="20">
        <v>12.09</v>
      </c>
      <c r="G11" s="20">
        <v>12.11</v>
      </c>
      <c r="H11" s="20">
        <v>12.12</v>
      </c>
      <c r="I11" s="20">
        <v>12.14</v>
      </c>
      <c r="J11" s="20">
        <v>12.17</v>
      </c>
      <c r="K11" s="20">
        <v>12.2</v>
      </c>
      <c r="L11" s="20">
        <v>12.22</v>
      </c>
      <c r="M11" s="20">
        <v>12.24</v>
      </c>
      <c r="N11" s="20">
        <v>12.26</v>
      </c>
      <c r="O11" s="20">
        <v>12.29</v>
      </c>
      <c r="P11" s="20">
        <v>12.32</v>
      </c>
      <c r="Q11" s="22">
        <f>IF(O11="","",(P11-O11)/O11)</f>
        <v>0.002441008950366244</v>
      </c>
      <c r="R11" s="22">
        <f>IF(D11="","",(P11-D11)/D11)</f>
        <v>0.024106400665004236</v>
      </c>
    </row>
    <row r="12">
      <c r="A12" s="18" t="s">
        <v>29</v>
      </c>
      <c r="B12" s="18" t="s">
        <v>30</v>
      </c>
      <c r="C12" s="21">
        <v>4682</v>
      </c>
      <c r="D12" s="21">
        <v>4682</v>
      </c>
      <c r="E12" s="21">
        <v>4682</v>
      </c>
      <c r="F12" s="21">
        <v>4685</v>
      </c>
      <c r="G12" s="21">
        <v>4686</v>
      </c>
      <c r="H12" s="21">
        <v>4687</v>
      </c>
      <c r="I12" s="21">
        <v>4687</v>
      </c>
      <c r="J12" s="21">
        <v>4688</v>
      </c>
      <c r="K12" s="21">
        <v>4690</v>
      </c>
      <c r="L12" s="21">
        <v>4690</v>
      </c>
      <c r="M12" s="21">
        <v>4692</v>
      </c>
      <c r="N12" s="21">
        <v>4692</v>
      </c>
      <c r="O12" s="21">
        <v>4693</v>
      </c>
      <c r="P12" s="21">
        <v>4696</v>
      </c>
      <c r="Q12" s="23">
        <f>IF(O12="","",(P12-O12)/O12)</f>
        <v>0.0006392499467291711</v>
      </c>
      <c r="R12" s="23">
        <f>IF(D12="","",(P12-D12)/D12)</f>
        <v>0.00299017513882956</v>
      </c>
    </row>
    <row r="13">
      <c r="A13" s="16" t="s">
        <v>31</v>
      </c>
      <c r="B13" s="16" t="s">
        <v>32</v>
      </c>
      <c r="C13" s="20">
        <v>2623</v>
      </c>
      <c r="D13" s="20">
        <v>2632</v>
      </c>
      <c r="E13" s="20">
        <v>2550</v>
      </c>
      <c r="F13" s="20">
        <v>2584</v>
      </c>
      <c r="G13" s="20">
        <v>2665</v>
      </c>
      <c r="H13" s="20">
        <v>2674</v>
      </c>
      <c r="I13" s="20">
        <v>2612</v>
      </c>
      <c r="J13" s="20">
        <v>2590</v>
      </c>
      <c r="K13" s="20">
        <v>2522</v>
      </c>
      <c r="L13" s="20">
        <v>2626</v>
      </c>
      <c r="M13" s="20">
        <v>2727</v>
      </c>
      <c r="N13" s="20">
        <v>2831</v>
      </c>
      <c r="O13" s="20">
        <v>2861</v>
      </c>
      <c r="P13" s="20">
        <v>2866</v>
      </c>
      <c r="Q13" s="22">
        <f>IF(O13="","",(P13-O13)/O13)</f>
        <v>0.0017476406850751485</v>
      </c>
      <c r="R13" s="22">
        <f>IF(D13="","",(P13-D13)/D13)</f>
        <v>0.08890577507598785</v>
      </c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>
      <c r="A15" s="25" t="s">
        <v>33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</sheetData>
  <pageMargins left="0.699999988079071" right="0.699999988079071" top="0.75" bottom="0.75" header="0.30000001192092896" footer="0.30000001192092896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