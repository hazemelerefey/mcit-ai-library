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ICT_Monthly_Report" sheetId="1" r:id="rId1"/>
  </sheets>
  <calcPr calcId="191029"/>
</workbook>
</file>

<file path=xl/sharedStrings.xml><?xml version="1.0" encoding="utf-8"?>
<sst xmlns="http://schemas.openxmlformats.org/spreadsheetml/2006/main" count="28" uniqueCount="23">
  <si>
    <t>ICT Indicators in Brief — Monthly Report</t>
  </si>
  <si>
    <t>Source: MCIT, NTRA · Nov 2024 · Sample data — replace the month columns; growth auto-computes.</t>
  </si>
  <si>
    <t>Indicator</t>
  </si>
  <si>
    <t>Unit</t>
  </si>
  <si>
    <t>Oct 2023</t>
  </si>
  <si>
    <t>Sep 2024</t>
  </si>
  <si>
    <t>Oct 2024</t>
  </si>
  <si>
    <t>MoM %</t>
  </si>
  <si>
    <t>YoY %</t>
  </si>
  <si>
    <t>Mobile subscriptions</t>
  </si>
  <si>
    <t>Million</t>
  </si>
  <si>
    <t>Mobile penetration</t>
  </si>
  <si>
    <t>%</t>
  </si>
  <si>
    <t>Data and voice mobile broadband</t>
  </si>
  <si>
    <t>Data-only mobile broadband</t>
  </si>
  <si>
    <t>Active fixed broadband</t>
  </si>
  <si>
    <t>Fixed lines</t>
  </si>
  <si>
    <t>Fixed lines penetration</t>
  </si>
  <si>
    <t>Post offices</t>
  </si>
  <si>
    <t>Offices</t>
  </si>
  <si>
    <t>EGX Telecom Index</t>
  </si>
  <si>
    <t>Points</t>
  </si>
  <si>
    <t>How to use: add the new month as a column before F; copy the MoM/YoY formulas across. Color negatives red.</t>
  </si>
</sst>
</file>

<file path=xl/styles.xml><?xml version="1.0" encoding="utf-8"?>
<styleSheet xmlns="http://schemas.openxmlformats.org/spreadsheetml/2006/main">
  <fonts count="12">
    <font>
      <sz val="11"/>
      <color theme="1"/>
      <name val="Calibri"/>
      <family val="2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b/>
      <sz val="16"/>
      <color rgb="FFFFFFFF"/>
      <name val="Calibri"/>
      <family val="2"/>
    </font>
    <font>
      <sz val="10"/>
      <color theme="1"/>
      <name val="Calibri"/>
      <family val="2"/>
    </font>
    <font>
      <sz val="10"/>
      <color rgb="FFB9C2CE"/>
      <name val="Calibri"/>
      <family val="2"/>
    </font>
    <font>
      <sz val="11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16A6E9"/>
      <name val="Calibri"/>
      <family val="2"/>
    </font>
    <font>
      <sz val="11"/>
      <color rgb="FFE5484D"/>
      <name val="Calibri"/>
      <family val="2"/>
    </font>
    <font>
      <sz val="9"/>
      <color theme="1"/>
      <name val="Calibri"/>
      <family val="2"/>
    </font>
    <font>
      <sz val="9"/>
      <color rgb="FFB9C2CE"/>
      <name val="Calibri"/>
      <family val="2"/>
    </font>
  </fonts>
  <fills count="5">
    <fill>
      <patternFill patternType="none"/>
    </fill>
    <fill>
      <patternFill patternType="gray125">
        <bgColor indexed="64"/>
      </patternFill>
    </fill>
    <fill>
      <patternFill patternType="solid">
        <fgColor rgb="FF010612"/>
        <bgColor indexed="64"/>
      </patternFill>
    </fill>
    <fill>
      <patternFill patternType="solid">
        <fgColor rgb="FF1E507A"/>
        <bgColor indexed="64"/>
      </patternFill>
    </fill>
    <fill>
      <patternFill patternType="solid">
        <fgColor rgb="FF030F1F"/>
        <bgColor indexed="64"/>
      </patternFill>
    </fill>
  </fills>
  <borders count="2">
    <border>
      <left/>
      <right/>
      <top/>
      <bottom/>
      <diagonal/>
    </border>
    <border>
      <left style="thin">
        <color rgb="FF1E507A"/>
      </left>
      <right style="thin">
        <color rgb="FF1E507A"/>
      </right>
      <top style="thin">
        <color rgb="FF1E507A"/>
      </top>
      <bottom style="thin">
        <color rgb="FF1E507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0" fillId="3" borderId="0" xfId="0" applyFill="1"/>
    <xf numFmtId="0" fontId="6" fillId="3" borderId="0" xfId="0" applyFont="1" applyFill="1"/>
    <xf numFmtId="0" fontId="7" fillId="3" borderId="0" xfId="0" applyFont="1" applyFill="1"/>
    <xf numFmtId="0" fontId="6" fillId="2" borderId="0" xfId="0" applyFont="1" applyFill="1"/>
    <xf numFmtId="0" fontId="8" fillId="2" borderId="0" xfId="0" applyFont="1" applyFill="1"/>
    <xf numFmtId="0" fontId="0" fillId="4" borderId="0" xfId="0" applyFill="1"/>
    <xf numFmtId="0" fontId="6" fillId="4" borderId="0" xfId="0" applyFont="1" applyFill="1"/>
    <xf numFmtId="0" fontId="8" fillId="4" borderId="0" xfId="0" applyFont="1" applyFill="1"/>
    <xf numFmtId="0" fontId="7" fillId="3" borderId="1" xfId="0" applyFont="1" applyFill="1" applyBorder="1"/>
    <xf numFmtId="0" fontId="6" fillId="2" borderId="1" xfId="0" applyFont="1" applyFill="1" applyBorder="1"/>
    <xf numFmtId="0" fontId="8" fillId="2" borderId="1" xfId="0" applyFont="1" applyFill="1" applyBorder="1"/>
    <xf numFmtId="0" fontId="6" fillId="4" borderId="1" xfId="0" applyFont="1" applyFill="1" applyBorder="1"/>
    <xf numFmtId="0" fontId="8" fillId="4" borderId="1" xfId="0" applyFont="1" applyFill="1" applyBorder="1"/>
    <xf numFmtId="2" fontId="6" fillId="2" borderId="1" xfId="0" applyNumberFormat="1" applyFont="1" applyFill="1" applyBorder="1"/>
    <xf numFmtId="2" fontId="6" fillId="4" borderId="1" xfId="0" applyNumberFormat="1" applyFont="1" applyFill="1" applyBorder="1"/>
    <xf numFmtId="10" fontId="8" fillId="2" borderId="1" xfId="0" applyNumberFormat="1" applyFont="1" applyFill="1" applyBorder="1"/>
    <xf numFmtId="10" fontId="8" fillId="4" borderId="1" xfId="0" applyNumberFormat="1" applyFont="1" applyFill="1" applyBorder="1"/>
    <xf numFmtId="10" fontId="9" fillId="2" borderId="1" xfId="0" applyNumberFormat="1" applyFont="1" applyFill="1" applyBorder="1"/>
    <xf numFmtId="0" fontId="10" fillId="2" borderId="0" xfId="0" applyFont="1" applyFill="1"/>
    <xf numFmtId="0" fontId="1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CTMonthly" displayName="ICTMonthly" ref="A4:G13" totalsRowShown="0">
  <autoFilter ref="A4:G13"/>
  <tableColumns count="7">
    <tableColumn id="1" name="Indicator"/>
    <tableColumn id="2" name="Unit"/>
    <tableColumn id="3" name="Oct 2023"/>
    <tableColumn id="4" name="Sep 2024"/>
    <tableColumn id="5" name="Oct 2024"/>
    <tableColumn id="6" name="MoM %"/>
    <tableColumn id="7" name="YoY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507A"/>
  </sheetPr>
  <dimension ref="A1:G16"/>
  <sheetViews>
    <sheetView tabSelected="1" workbookViewId="0">
      <pane ySplit="4" topLeftCell="A5" activePane="bottomLeft" state="frozen"/>
      <selection pane="bottomLeft" activeCell="A1" sqref="A1"/>
    </sheetView>
  </sheetViews>
  <sheetFormatPr defaultRowHeight="15"/>
  <cols>
    <col min="1" max="1" width="24.7109375" customWidth="1"/>
    <col min="2" max="2" width="10.7109375" customWidth="1"/>
    <col min="3" max="7" width="8.7109375" customWidth="1"/>
  </cols>
  <sheetData>
    <row r="1" ht="21.82">
      <c r="A1" s="4" t="s">
        <v>0</v>
      </c>
      <c r="B1" s="1"/>
      <c r="C1" s="1"/>
      <c r="D1" s="1"/>
      <c r="E1" s="1"/>
      <c r="F1" s="1"/>
      <c r="G1" s="1"/>
    </row>
    <row r="2">
      <c r="A2" s="6" t="s">
        <v>1</v>
      </c>
      <c r="B2" s="1"/>
      <c r="C2" s="1"/>
      <c r="D2" s="1"/>
      <c r="E2" s="1"/>
      <c r="F2" s="1"/>
      <c r="G2" s="1"/>
    </row>
    <row r="3">
      <c r="A3" s="1"/>
      <c r="B3" s="1"/>
      <c r="C3" s="1"/>
      <c r="D3" s="1"/>
      <c r="E3" s="1"/>
      <c r="F3" s="1"/>
      <c r="G3" s="1"/>
    </row>
    <row r="4">
      <c r="A4" s="15" t="s">
        <v>2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</row>
    <row r="5">
      <c r="A5" s="16" t="s">
        <v>9</v>
      </c>
      <c r="B5" s="16" t="s">
        <v>10</v>
      </c>
      <c r="C5" s="20">
        <v>105.75</v>
      </c>
      <c r="D5" s="20">
        <v>111.12</v>
      </c>
      <c r="E5" s="20">
        <v>112.89</v>
      </c>
      <c r="F5" s="22">
        <f>IF(D5="","",(E5-D5)/D5)</f>
        <v>0.015928725701943806</v>
      </c>
      <c r="G5" s="22">
        <f>IF(C5="","",(E5-C5)/C5)</f>
        <v>0.0675177304964539</v>
      </c>
    </row>
    <row r="6">
      <c r="A6" s="18" t="s">
        <v>11</v>
      </c>
      <c r="B6" s="18" t="s">
        <v>12</v>
      </c>
      <c r="C6" s="21">
        <v>98.76</v>
      </c>
      <c r="D6" s="21">
        <v>102.14</v>
      </c>
      <c r="E6" s="21">
        <v>103.62</v>
      </c>
      <c r="F6" s="23">
        <f>IF(D6="","",(E6-D6)/D6)</f>
        <v>0.01448991580184065</v>
      </c>
      <c r="G6" s="23">
        <f>IF(C6="","",(E6-C6)/C6)</f>
        <v>0.04921020656136087</v>
      </c>
    </row>
    <row r="7">
      <c r="A7" s="16" t="s">
        <v>13</v>
      </c>
      <c r="B7" s="16" t="s">
        <v>10</v>
      </c>
      <c r="C7" s="20">
        <v>75.8</v>
      </c>
      <c r="D7" s="20">
        <v>82.95</v>
      </c>
      <c r="E7" s="20">
        <v>83.68</v>
      </c>
      <c r="F7" s="22">
        <f>IF(D7="","",(E7-D7)/D7)</f>
        <v>0.008800482218203785</v>
      </c>
      <c r="G7" s="22">
        <f>IF(C7="","",(E7-C7)/C7)</f>
        <v>0.10395778364116108</v>
      </c>
    </row>
    <row r="8">
      <c r="A8" s="18" t="s">
        <v>14</v>
      </c>
      <c r="B8" s="18" t="s">
        <v>10</v>
      </c>
      <c r="C8" s="21">
        <v>2.45</v>
      </c>
      <c r="D8" s="21">
        <v>2.83</v>
      </c>
      <c r="E8" s="21">
        <v>3.12</v>
      </c>
      <c r="F8" s="23">
        <f>IF(D8="","",(E8-D8)/D8)</f>
        <v>0.10247349823321555</v>
      </c>
      <c r="G8" s="23">
        <f>IF(C8="","",(E8-C8)/C8)</f>
        <v>0.273469387755102</v>
      </c>
    </row>
    <row r="9">
      <c r="A9" s="16" t="s">
        <v>15</v>
      </c>
      <c r="B9" s="16" t="s">
        <v>10</v>
      </c>
      <c r="C9" s="20">
        <v>10.7</v>
      </c>
      <c r="D9" s="20">
        <v>11.36</v>
      </c>
      <c r="E9" s="20">
        <v>11.46</v>
      </c>
      <c r="F9" s="22">
        <f>IF(D9="","",(E9-D9)/D9)</f>
        <v>0.008802816901408576</v>
      </c>
      <c r="G9" s="22">
        <f>IF(C9="","",(E9-C9)/C9)</f>
        <v>0.07102803738317771</v>
      </c>
    </row>
    <row r="10">
      <c r="A10" s="18" t="s">
        <v>16</v>
      </c>
      <c r="B10" s="18" t="s">
        <v>10</v>
      </c>
      <c r="C10" s="21">
        <v>12.29</v>
      </c>
      <c r="D10" s="21">
        <v>12.94</v>
      </c>
      <c r="E10" s="21">
        <v>13.06</v>
      </c>
      <c r="F10" s="23">
        <f>IF(D10="","",(E10-D10)/D10)</f>
        <v>0.009273570324575039</v>
      </c>
      <c r="G10" s="23">
        <f>IF(C10="","",(E10-C10)/C10)</f>
        <v>0.062652563059398</v>
      </c>
    </row>
    <row r="11">
      <c r="A11" s="16" t="s">
        <v>17</v>
      </c>
      <c r="B11" s="16" t="s">
        <v>12</v>
      </c>
      <c r="C11" s="20">
        <v>11.48</v>
      </c>
      <c r="D11" s="20">
        <v>11.9</v>
      </c>
      <c r="E11" s="20">
        <v>11.99</v>
      </c>
      <c r="F11" s="22">
        <f>IF(D11="","",(E11-D11)/D11)</f>
        <v>0.0075630252100840215</v>
      </c>
      <c r="G11" s="22">
        <f>IF(C11="","",(E11-C11)/C11)</f>
        <v>0.04442508710801392</v>
      </c>
    </row>
    <row r="12">
      <c r="A12" s="18" t="s">
        <v>18</v>
      </c>
      <c r="B12" s="18" t="s">
        <v>19</v>
      </c>
      <c r="C12" s="21">
        <v>4495</v>
      </c>
      <c r="D12" s="21">
        <v>4668</v>
      </c>
      <c r="E12" s="21">
        <v>4679</v>
      </c>
      <c r="F12" s="23">
        <f>IF(D12="","",(E12-D12)/D12)</f>
        <v>0.002356469580119966</v>
      </c>
      <c r="G12" s="23">
        <f>IF(C12="","",(E12-C12)/C12)</f>
        <v>0.040934371523915464</v>
      </c>
    </row>
    <row r="13">
      <c r="A13" s="16" t="s">
        <v>20</v>
      </c>
      <c r="B13" s="16" t="s">
        <v>21</v>
      </c>
      <c r="C13" s="20">
        <v>1940</v>
      </c>
      <c r="D13" s="20">
        <v>2640</v>
      </c>
      <c r="E13" s="20">
        <v>2560</v>
      </c>
      <c r="F13" s="24">
        <f>IF(D13="","",(E13-D13)/D13)</f>
        <v>-0.030303030303030304</v>
      </c>
      <c r="G13" s="22">
        <f>IF(C13="","",(E13-C13)/C13)</f>
        <v>0.31958762886597936</v>
      </c>
    </row>
    <row r="14">
      <c r="A14" s="1"/>
      <c r="B14" s="1"/>
      <c r="C14" s="1"/>
      <c r="D14" s="1"/>
      <c r="E14" s="1"/>
      <c r="F14" s="1"/>
      <c r="G14" s="1"/>
    </row>
    <row r="15">
      <c r="A15" s="26" t="s">
        <v>22</v>
      </c>
      <c r="B15" s="1"/>
      <c r="C15" s="1"/>
      <c r="D15" s="1"/>
      <c r="E15" s="1"/>
      <c r="F15" s="1"/>
      <c r="G15" s="1"/>
    </row>
    <row r="16">
      <c r="A16" s="1"/>
      <c r="B16" s="1"/>
      <c r="C16" s="1"/>
      <c r="D16" s="1"/>
      <c r="E16" s="1"/>
      <c r="F16" s="1"/>
      <c r="G16" s="1"/>
    </row>
  </sheetData>
  <pageMargins left="0.699999988079071" right="0.699999988079071" top="0.75" bottom="0.75" header="0.30000001192092896" footer="0.30000001192092896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